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Bence\ujs\1\nysz\tap\gyakorlatok\"/>
    </mc:Choice>
  </mc:AlternateContent>
  <xr:revisionPtr revIDLastSave="0" documentId="13_ncr:1_{CC8DB382-8438-4284-ACD8-1C6D17DD72D2}" xr6:coauthVersionLast="47" xr6:coauthVersionMax="47" xr10:uidLastSave="{00000000-0000-0000-0000-000000000000}"/>
  <bookViews>
    <workbookView xWindow="-108" yWindow="-108" windowWidth="23256" windowHeight="12456" activeTab="5" xr2:uid="{E9E5CB28-945A-42DA-9ED6-CF42699C2374}"/>
  </bookViews>
  <sheets>
    <sheet name="Lineáris transzformációk" sheetId="5" r:id="rId1"/>
    <sheet name="Lineáris egyenletrendszer" sheetId="6" r:id="rId2"/>
    <sheet name="Gyártás" sheetId="7" r:id="rId3"/>
    <sheet name="Szállítás" sheetId="1" r:id="rId4"/>
    <sheet name="Lineáris regresszió" sheetId="8" r:id="rId5"/>
    <sheet name="Makró" sheetId="9" r:id="rId6"/>
  </sheets>
  <definedNames>
    <definedName name="solver_adj" localSheetId="2" hidden="1">Gyártás!$C$9:$E$9</definedName>
    <definedName name="solver_adj" localSheetId="3" hidden="1">Szállítás!$C$7:$E$8</definedName>
    <definedName name="solver_cvg" localSheetId="2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3" hidden="1">0.0001</definedName>
    <definedName name="solver_drv" localSheetId="2" hidden="1">1</definedName>
    <definedName name="solver_drv" localSheetId="3" hidden="1">2</definedName>
    <definedName name="solver_eng" localSheetId="2" hidden="1">2</definedName>
    <definedName name="solver_eng" localSheetId="3" hidden="1">2</definedName>
    <definedName name="solver_est" localSheetId="2" hidden="1">1</definedName>
    <definedName name="solver_est" localSheetId="3" hidden="1">1</definedName>
    <definedName name="solver_itr" localSheetId="2" hidden="1">2147483647</definedName>
    <definedName name="solver_itr" localSheetId="3" hidden="1">2147483647</definedName>
    <definedName name="solver_lhs1" localSheetId="2" hidden="1">Gyártás!$C$9:$E$9</definedName>
    <definedName name="solver_lhs1" localSheetId="3" hidden="1">Szállítás!$C$7:$E$8</definedName>
    <definedName name="solver_lhs2" localSheetId="2" hidden="1">Gyártás!$I$7</definedName>
    <definedName name="solver_lhs2" localSheetId="3" hidden="1">Szállítás!$I$11</definedName>
    <definedName name="solver_lhs3" localSheetId="2" hidden="1">Gyártás!$I$8</definedName>
    <definedName name="solver_lhs3" localSheetId="3" hidden="1">Szállítás!$I$12</definedName>
    <definedName name="solver_lhs4" localSheetId="3" hidden="1">Szállítás!$I$7</definedName>
    <definedName name="solver_lhs5" localSheetId="3" hidden="1">Szállítás!$I$10</definedName>
    <definedName name="solver_lhs6" localSheetId="3" hidden="1">Szállítás!$I$8</definedName>
    <definedName name="solver_mip" localSheetId="2" hidden="1">2147483647</definedName>
    <definedName name="solver_mip" localSheetId="3" hidden="1">2147483647</definedName>
    <definedName name="solver_mni" localSheetId="2" hidden="1">30</definedName>
    <definedName name="solver_mni" localSheetId="3" hidden="1">30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3" hidden="1">0.075</definedName>
    <definedName name="solver_msl" localSheetId="2" hidden="1">2</definedName>
    <definedName name="solver_msl" localSheetId="3" hidden="1">2</definedName>
    <definedName name="solver_neg" localSheetId="2" hidden="1">1</definedName>
    <definedName name="solver_neg" localSheetId="3" hidden="1">1</definedName>
    <definedName name="solver_nod" localSheetId="2" hidden="1">2147483647</definedName>
    <definedName name="solver_nod" localSheetId="3" hidden="1">2147483647</definedName>
    <definedName name="solver_num" localSheetId="2" hidden="1">3</definedName>
    <definedName name="solver_num" localSheetId="3" hidden="1">6</definedName>
    <definedName name="solver_nwt" localSheetId="2" hidden="1">1</definedName>
    <definedName name="solver_nwt" localSheetId="3" hidden="1">1</definedName>
    <definedName name="solver_opt" localSheetId="2" hidden="1">Gyártás!$B$17</definedName>
    <definedName name="solver_opt" localSheetId="3" hidden="1">Szállítás!$I$5</definedName>
    <definedName name="solver_pre" localSheetId="2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3" hidden="1">0.000001</definedName>
    <definedName name="solver_rbv" localSheetId="2" hidden="1">1</definedName>
    <definedName name="solver_rbv" localSheetId="3" hidden="1">2</definedName>
    <definedName name="solver_rel1" localSheetId="2" hidden="1">3</definedName>
    <definedName name="solver_rel1" localSheetId="3" hidden="1">3</definedName>
    <definedName name="solver_rel2" localSheetId="2" hidden="1">1</definedName>
    <definedName name="solver_rel2" localSheetId="3" hidden="1">2</definedName>
    <definedName name="solver_rel3" localSheetId="2" hidden="1">1</definedName>
    <definedName name="solver_rel3" localSheetId="3" hidden="1">2</definedName>
    <definedName name="solver_rel4" localSheetId="3" hidden="1">1</definedName>
    <definedName name="solver_rel5" localSheetId="3" hidden="1">2</definedName>
    <definedName name="solver_rel6" localSheetId="3" hidden="1">1</definedName>
    <definedName name="solver_rhs1" localSheetId="2" hidden="1">0</definedName>
    <definedName name="solver_rhs1" localSheetId="3" hidden="1">0</definedName>
    <definedName name="solver_rhs2" localSheetId="2" hidden="1">Gyártás!$F$7</definedName>
    <definedName name="solver_rhs2" localSheetId="3" hidden="1">60</definedName>
    <definedName name="solver_rhs3" localSheetId="2" hidden="1">Gyártás!$F$8</definedName>
    <definedName name="solver_rhs3" localSheetId="3" hidden="1">70</definedName>
    <definedName name="solver_rhs4" localSheetId="3" hidden="1">100</definedName>
    <definedName name="solver_rhs5" localSheetId="3" hidden="1">50</definedName>
    <definedName name="solver_rhs6" localSheetId="3" hidden="1">80</definedName>
    <definedName name="solver_rlx" localSheetId="2" hidden="1">2</definedName>
    <definedName name="solver_rlx" localSheetId="3" hidden="1">2</definedName>
    <definedName name="solver_rsd" localSheetId="2" hidden="1">0</definedName>
    <definedName name="solver_rsd" localSheetId="3" hidden="1">0</definedName>
    <definedName name="solver_scl" localSheetId="2" hidden="1">1</definedName>
    <definedName name="solver_scl" localSheetId="3" hidden="1">2</definedName>
    <definedName name="solver_sho" localSheetId="2" hidden="1">2</definedName>
    <definedName name="solver_sho" localSheetId="3" hidden="1">2</definedName>
    <definedName name="solver_ssz" localSheetId="2" hidden="1">100</definedName>
    <definedName name="solver_ssz" localSheetId="3" hidden="1">100</definedName>
    <definedName name="solver_tim" localSheetId="2" hidden="1">2147483647</definedName>
    <definedName name="solver_tim" localSheetId="3" hidden="1">2147483647</definedName>
    <definedName name="solver_tol" localSheetId="2" hidden="1">0.01</definedName>
    <definedName name="solver_tol" localSheetId="3" hidden="1">0.01</definedName>
    <definedName name="solver_typ" localSheetId="2" hidden="1">1</definedName>
    <definedName name="solver_typ" localSheetId="3" hidden="1">2</definedName>
    <definedName name="solver_val" localSheetId="2" hidden="1">0</definedName>
    <definedName name="solver_val" localSheetId="3" hidden="1">0</definedName>
    <definedName name="solver_ver" localSheetId="2" hidden="1">3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7" i="8" l="1"/>
  <c r="E28" i="8"/>
  <c r="E29" i="8"/>
  <c r="E30" i="8"/>
  <c r="E31" i="8"/>
  <c r="I3" i="8" a="1"/>
  <c r="I3" i="8" s="1"/>
  <c r="E12" i="8" s="1"/>
  <c r="E10" i="8" l="1"/>
  <c r="E17" i="8"/>
  <c r="E24" i="8"/>
  <c r="E8" i="8"/>
  <c r="E15" i="8"/>
  <c r="E22" i="8"/>
  <c r="E6" i="8"/>
  <c r="E21" i="8"/>
  <c r="E13" i="8"/>
  <c r="E19" i="8"/>
  <c r="E11" i="8"/>
  <c r="E18" i="8"/>
  <c r="E5" i="8"/>
  <c r="E9" i="8"/>
  <c r="E16" i="8"/>
  <c r="E23" i="8"/>
  <c r="E7" i="8"/>
  <c r="E14" i="8"/>
  <c r="E20" i="8"/>
  <c r="G7" i="5" l="1"/>
  <c r="G8" i="5"/>
  <c r="G6" i="5"/>
  <c r="I5" i="1"/>
  <c r="I8" i="7"/>
  <c r="I7" i="7"/>
  <c r="I5" i="7"/>
  <c r="C18" i="6" a="1"/>
  <c r="C18" i="6" s="1"/>
  <c r="E22" i="6" s="1" a="1"/>
  <c r="E22" i="6" s="1"/>
  <c r="C16" i="6"/>
  <c r="K58" i="5" l="1"/>
  <c r="D62" i="5" s="1"/>
  <c r="C47" i="5" a="1"/>
  <c r="C47" i="5" s="1"/>
  <c r="C33" i="5" a="1"/>
  <c r="C33" i="5" s="1"/>
  <c r="C63" i="5" l="1"/>
  <c r="D63" i="5"/>
  <c r="C62" i="5"/>
  <c r="C12" i="5" a="1"/>
  <c r="C12" i="5" s="1"/>
  <c r="C66" i="5" l="1" a="1"/>
  <c r="C66" i="5" s="1"/>
  <c r="I12" i="1"/>
  <c r="I11" i="1"/>
  <c r="I10" i="1"/>
  <c r="I8" i="1"/>
  <c r="I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<sst xmlns="http://schemas.openxmlformats.org/spreadsheetml/2006/main" count="193" uniqueCount="100">
  <si>
    <t>Raktár 1</t>
  </si>
  <si>
    <t>Raktár 2</t>
  </si>
  <si>
    <t>100 egység</t>
  </si>
  <si>
    <t>80 egység</t>
  </si>
  <si>
    <t>Kliens 1</t>
  </si>
  <si>
    <t>Kliens 2</t>
  </si>
  <si>
    <t>Kliens 3</t>
  </si>
  <si>
    <t>Készlet</t>
  </si>
  <si>
    <t>Kereslet</t>
  </si>
  <si>
    <t>Igény</t>
  </si>
  <si>
    <t>Ár</t>
  </si>
  <si>
    <t>Teljes ár</t>
  </si>
  <si>
    <t>A</t>
  </si>
  <si>
    <t>B</t>
  </si>
  <si>
    <t>C</t>
  </si>
  <si>
    <t>x</t>
  </si>
  <si>
    <t>y</t>
  </si>
  <si>
    <t>z</t>
  </si>
  <si>
    <t>D</t>
  </si>
  <si>
    <t>Nagyítás</t>
  </si>
  <si>
    <t>Tükrözés y tengelyen</t>
  </si>
  <si>
    <t>a</t>
  </si>
  <si>
    <t>=</t>
  </si>
  <si>
    <t>Eltolás x tengelyen a-val</t>
  </si>
  <si>
    <t>Forgatás α szöggel O körül</t>
  </si>
  <si>
    <t>α</t>
  </si>
  <si>
    <t>rad(α)</t>
  </si>
  <si>
    <t>det=</t>
  </si>
  <si>
    <t>inverz</t>
  </si>
  <si>
    <t>eredmény</t>
  </si>
  <si>
    <t>Termék A</t>
  </si>
  <si>
    <t>Termék B</t>
  </si>
  <si>
    <t>Termék C</t>
  </si>
  <si>
    <t>Gyártás</t>
  </si>
  <si>
    <t>Teljes bevétel</t>
  </si>
  <si>
    <t>Munkaóra</t>
  </si>
  <si>
    <t>Alapanyag</t>
  </si>
  <si>
    <t>Össz munkaóra</t>
  </si>
  <si>
    <t>Össz alapanyag</t>
  </si>
  <si>
    <t>k</t>
  </si>
  <si>
    <t>Hónap</t>
  </si>
  <si>
    <t>Bevétel</t>
  </si>
  <si>
    <t>Január</t>
  </si>
  <si>
    <t>Február</t>
  </si>
  <si>
    <t>Március</t>
  </si>
  <si>
    <t>Április</t>
  </si>
  <si>
    <t>Május</t>
  </si>
  <si>
    <t>Június</t>
  </si>
  <si>
    <t>Július</t>
  </si>
  <si>
    <t>Augusztus</t>
  </si>
  <si>
    <t>Szeptember</t>
  </si>
  <si>
    <t>Október</t>
  </si>
  <si>
    <t>November</t>
  </si>
  <si>
    <t>December</t>
  </si>
  <si>
    <t>Ez egy egyszerű makró mely generál véletlen számokat a B oszlopban, majd összeadja őket és egy üzenetdobozban kiírja.</t>
  </si>
  <si>
    <t>Bővebb információ a makróról a "forráskódban".</t>
  </si>
  <si>
    <t>Kimondott feladatforrással nem tudok szolgálni, mivel maga az ötlet az én fejemből ugrott ki elsőként.</t>
  </si>
  <si>
    <t>De feltételeztem, hogy nem nekem jutott hasonló makróötlet az eszembe először, egy gyors kereséssel ez be is bizonyosodott.</t>
  </si>
  <si>
    <t>Azonban az ötlet, hogy ezt csináljam, az saját magamtól jött.</t>
  </si>
  <si>
    <t>tutorialspoint</t>
  </si>
  <si>
    <t>A forráskód megvalósításához és a vba nyelv megismeréséhez előszeretettel segített</t>
  </si>
  <si>
    <t>MDETERM()</t>
  </si>
  <si>
    <t>INVERZ.MÁTRIX()</t>
  </si>
  <si>
    <t>MSZORZAT()</t>
  </si>
  <si>
    <t>Termékenként a profit 40€, 30€ és 50€.</t>
  </si>
  <si>
    <t>Termékenként a munka: 2, 1 és 3 óra; az alapanyag: 3, 2 és 1 egység.</t>
  </si>
  <si>
    <t>Egy cég 3 terméket gyárt. Rendelkezésre álló alapanyag 500 egység; munkaóra 800 óra.</t>
  </si>
  <si>
    <t>Bevétel/egység</t>
  </si>
  <si>
    <t>A táblázatot a fenti séma alapján megalkotjuk.</t>
  </si>
  <si>
    <t>A kliensek sorban 50, 60, és 70 terméket ígényelnek.</t>
  </si>
  <si>
    <t xml:space="preserve">Az első raktárból a szállítás 4€, 6€, és 8€. </t>
  </si>
  <si>
    <t xml:space="preserve">A második raktárból a szállítás 5€, 3€, és 7€. </t>
  </si>
  <si>
    <t>A solverben a döntöváltozókat beállítjuk, hogy nem lehetnek kisebb mint 0.</t>
  </si>
  <si>
    <t>A solverben beállítjuk, hogy egyenlőnek kell lennie a kliensek igényeinek.</t>
  </si>
  <si>
    <t>A solverben beállítjuk,hogy nem lehet nagyobb a kiszállítandó árú, mint a raktárban rendelkezésreálló készlet.</t>
  </si>
  <si>
    <t>A feladatot magamtól találtam ki.</t>
  </si>
  <si>
    <t>Két raktárból történik szállítás 3 kliensnek.</t>
  </si>
  <si>
    <t>Ez  a munkafüzet egy lineáris egyenletrendszert valósít meg, mátrixokkal.</t>
  </si>
  <si>
    <t>Az egyenletrendszert magamtól találtam ki, és az órán tanultak alapján számoltam ki.</t>
  </si>
  <si>
    <t>Felírjuk az egyenletrendszert mátrixként.</t>
  </si>
  <si>
    <t>Kiszámoljuk a determinánsát.</t>
  </si>
  <si>
    <t>Kiszámoljuk az inverzét.</t>
  </si>
  <si>
    <t>Mátrix szorzással kiszámoljuk az eredményt.</t>
  </si>
  <si>
    <t>Ez egy lineáris transzformációkkal foglalkozó munkafüzet, bemutatva pár példát.</t>
  </si>
  <si>
    <t>Az órán oldott feladatok alapján, készítettem, a számokat véletlenül találtam ki.</t>
  </si>
  <si>
    <t>A solverben az össz munkaóra és alapanyagot beállítjuk, hogy nem lehet nagyobb mint a rendelkezésre álló.</t>
  </si>
  <si>
    <t>A döntőváltozók és a bevétel/egység szorzatösszege.</t>
  </si>
  <si>
    <t>A döntőváltozók és a termékek munkaóraigényeinek szorzatösszege.</t>
  </si>
  <si>
    <t>A döntőváltozók és a termékek alapanyagigényeinek szorzatösszege.</t>
  </si>
  <si>
    <t>(ezer €)</t>
  </si>
  <si>
    <t>(ezer darab)</t>
  </si>
  <si>
    <t>Reklámpénz(x)</t>
  </si>
  <si>
    <t>Eladott termék(y)</t>
  </si>
  <si>
    <t>Stellar Tech Inc. tech cég elindított egy új terméket, amelynek következő 20 hónapját az alábbi táblázatban látjuk.</t>
  </si>
  <si>
    <t>Lineáris illesztés</t>
  </si>
  <si>
    <t>Várható eladás</t>
  </si>
  <si>
    <t>Jövő</t>
  </si>
  <si>
    <r>
      <t>Az R</t>
    </r>
    <r>
      <rPr>
        <vertAlign val="superscript"/>
        <sz val="11"/>
        <color theme="1"/>
        <rFont val="Aptos Narrow"/>
        <family val="2"/>
        <scheme val="minor"/>
      </rPr>
      <t xml:space="preserve">2 </t>
    </r>
    <r>
      <rPr>
        <sz val="11"/>
        <color theme="1"/>
        <rFont val="Aptos Narrow"/>
        <family val="2"/>
        <charset val="238"/>
        <scheme val="minor"/>
      </rPr>
      <t>alapján szoros összefüggést állapíthatunk meg.</t>
    </r>
  </si>
  <si>
    <t>Az eladott termékek a függő változók, a reklámpénz a független változó.</t>
  </si>
  <si>
    <t>Az értékeket saját magam találtam ki.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</si>
</sst>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\ [$€-1]_-;\-* #,##0\ [$€-1]_-;_-* &quot;-&quot;??\ [$€-1]_-;_-@_-"/>
    <numFmt numFmtId="165" formatCode="#,##0.00\ \€"/>
  </numFmts>
  <fonts count="10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sz val="8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charset val="238"/>
      <scheme val="minor"/>
    </font>
    <font>
      <u/>
      <sz val="11"/>
      <color theme="10"/>
      <name val="Aptos Narrow"/>
      <family val="2"/>
      <charset val="238"/>
      <scheme val="minor"/>
    </font>
    <font>
      <sz val="11"/>
      <color rgb="FF000000"/>
      <name val="Aptos Narrow"/>
      <family val="2"/>
    </font>
    <font>
      <sz val="10"/>
      <name val="Segoe UI"/>
      <family val="2"/>
      <charset val="238"/>
    </font>
    <font>
      <vertAlign val="superscript"/>
      <sz val="11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64" fontId="0" fillId="6" borderId="9" xfId="0" applyNumberFormat="1" applyFill="1" applyBorder="1" applyAlignment="1">
      <alignment horizontal="center" vertical="center"/>
    </xf>
    <xf numFmtId="164" fontId="5" fillId="2" borderId="9" xfId="0" applyNumberFormat="1" applyFont="1" applyFill="1" applyBorder="1"/>
    <xf numFmtId="0" fontId="0" fillId="3" borderId="9" xfId="0" applyFill="1" applyBorder="1"/>
    <xf numFmtId="0" fontId="0" fillId="7" borderId="9" xfId="0" applyFill="1" applyBorder="1"/>
    <xf numFmtId="14" fontId="0" fillId="0" borderId="0" xfId="0" applyNumberFormat="1"/>
    <xf numFmtId="165" fontId="0" fillId="0" borderId="0" xfId="0" applyNumberFormat="1"/>
    <xf numFmtId="0" fontId="6" fillId="0" borderId="0" xfId="1"/>
    <xf numFmtId="0" fontId="1" fillId="0" borderId="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8" borderId="9" xfId="0" applyFill="1" applyBorder="1" applyAlignment="1">
      <alignment horizontal="center" vertical="center"/>
    </xf>
    <xf numFmtId="0" fontId="0" fillId="0" borderId="9" xfId="0" applyBorder="1"/>
    <xf numFmtId="0" fontId="0" fillId="0" borderId="19" xfId="0" applyBorder="1"/>
    <xf numFmtId="0" fontId="8" fillId="0" borderId="0" xfId="0" applyFont="1"/>
    <xf numFmtId="0" fontId="0" fillId="2" borderId="9" xfId="0" applyFill="1" applyBorder="1"/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9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Nagyítás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eredeti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'Lineáris transzformációk'!$C$6:$G$6</c:f>
              <c:numCache>
                <c:formatCode>General</c:formatCode>
                <c:ptCount val="5"/>
                <c:pt idx="0">
                  <c:v>6</c:v>
                </c:pt>
                <c:pt idx="1">
                  <c:v>3</c:v>
                </c:pt>
                <c:pt idx="2">
                  <c:v>9</c:v>
                </c:pt>
                <c:pt idx="3">
                  <c:v>8</c:v>
                </c:pt>
                <c:pt idx="4">
                  <c:v>6</c:v>
                </c:pt>
              </c:numCache>
            </c:numRef>
          </c:xVal>
          <c:yVal>
            <c:numRef>
              <c:f>'Lineáris transzformációk'!$C$7:$G$7</c:f>
              <c:numCache>
                <c:formatCode>General</c:formatCode>
                <c:ptCount val="5"/>
                <c:pt idx="0">
                  <c:v>2</c:v>
                </c:pt>
                <c:pt idx="1">
                  <c:v>5</c:v>
                </c:pt>
                <c:pt idx="2">
                  <c:v>6</c:v>
                </c:pt>
                <c:pt idx="3">
                  <c:v>14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82-4552-8934-1212EDEE3ED2}"/>
            </c:ext>
          </c:extLst>
        </c:ser>
        <c:ser>
          <c:idx val="1"/>
          <c:order val="1"/>
          <c:tx>
            <c:v>nagyított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'Lineáris transzformációk'!$C$12:$G$12</c:f>
              <c:numCache>
                <c:formatCode>General</c:formatCode>
                <c:ptCount val="5"/>
                <c:pt idx="0">
                  <c:v>30</c:v>
                </c:pt>
                <c:pt idx="1">
                  <c:v>15</c:v>
                </c:pt>
                <c:pt idx="2">
                  <c:v>45</c:v>
                </c:pt>
                <c:pt idx="3">
                  <c:v>40</c:v>
                </c:pt>
                <c:pt idx="4">
                  <c:v>30</c:v>
                </c:pt>
              </c:numCache>
            </c:numRef>
          </c:xVal>
          <c:yVal>
            <c:numRef>
              <c:f>'Lineáris transzformációk'!$C$13:$G$13</c:f>
              <c:numCache>
                <c:formatCode>General</c:formatCode>
                <c:ptCount val="5"/>
                <c:pt idx="0">
                  <c:v>10</c:v>
                </c:pt>
                <c:pt idx="1">
                  <c:v>25</c:v>
                </c:pt>
                <c:pt idx="2">
                  <c:v>30</c:v>
                </c:pt>
                <c:pt idx="3">
                  <c:v>70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82-4552-8934-1212EDEE3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982687"/>
        <c:axId val="482978367"/>
      </c:scatterChart>
      <c:valAx>
        <c:axId val="482982687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78367"/>
        <c:crosses val="autoZero"/>
        <c:crossBetween val="midCat"/>
      </c:valAx>
      <c:valAx>
        <c:axId val="482978367"/>
        <c:scaling>
          <c:orientation val="minMax"/>
          <c:max val="7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826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Tükrözés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eredeti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'Lineáris transzformációk'!$C$25:$F$25</c:f>
              <c:numCache>
                <c:formatCode>General</c:formatCode>
                <c:ptCount val="4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3</c:v>
                </c:pt>
              </c:numCache>
            </c:numRef>
          </c:xVal>
          <c:yVal>
            <c:numRef>
              <c:f>'Lineáris transzformációk'!$C$26:$F$26</c:f>
              <c:numCache>
                <c:formatCode>General</c:formatCode>
                <c:ptCount val="4"/>
                <c:pt idx="0">
                  <c:v>5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85-4B23-A2F9-7B523A350D0B}"/>
            </c:ext>
          </c:extLst>
        </c:ser>
        <c:ser>
          <c:idx val="1"/>
          <c:order val="1"/>
          <c:tx>
            <c:v>tükrözött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'Lineáris transzformációk'!$C$33:$F$33</c:f>
              <c:numCache>
                <c:formatCode>General</c:formatCode>
                <c:ptCount val="4"/>
                <c:pt idx="0">
                  <c:v>-3</c:v>
                </c:pt>
                <c:pt idx="1">
                  <c:v>-5</c:v>
                </c:pt>
                <c:pt idx="2">
                  <c:v>-7</c:v>
                </c:pt>
                <c:pt idx="3">
                  <c:v>-3</c:v>
                </c:pt>
              </c:numCache>
            </c:numRef>
          </c:xVal>
          <c:yVal>
            <c:numRef>
              <c:f>'Lineáris transzformációk'!$C$34:$F$34</c:f>
              <c:numCache>
                <c:formatCode>General</c:formatCode>
                <c:ptCount val="4"/>
                <c:pt idx="0">
                  <c:v>-5</c:v>
                </c:pt>
                <c:pt idx="1">
                  <c:v>-5</c:v>
                </c:pt>
                <c:pt idx="2">
                  <c:v>-2</c:v>
                </c:pt>
                <c:pt idx="3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85-4B23-A2F9-7B523A350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20735"/>
        <c:axId val="46805855"/>
      </c:scatterChart>
      <c:valAx>
        <c:axId val="468207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05855"/>
        <c:crosses val="autoZero"/>
        <c:crossBetween val="midCat"/>
      </c:valAx>
      <c:valAx>
        <c:axId val="4680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0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Eltolás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eredeti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'Lineáris transzformációk'!$C$39:$F$39</c:f>
              <c:numCache>
                <c:formatCode>General</c:formatCode>
                <c:ptCount val="4"/>
                <c:pt idx="0">
                  <c:v>5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'Lineáris transzformációk'!$C$40:$F$40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F8-4F34-AAFC-7EDCE42CB78E}"/>
            </c:ext>
          </c:extLst>
        </c:ser>
        <c:ser>
          <c:idx val="1"/>
          <c:order val="1"/>
          <c:tx>
            <c:v>eltolt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'Lineáris transzformációk'!$C$47:$F$47</c:f>
              <c:numCache>
                <c:formatCode>General</c:formatCode>
                <c:ptCount val="4"/>
                <c:pt idx="0">
                  <c:v>9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</c:numCache>
            </c:numRef>
          </c:xVal>
          <c:yVal>
            <c:numRef>
              <c:f>'Lineáris transzformációk'!$C$48:$F$48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F8-4F34-AAFC-7EDCE42CB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690800"/>
        <c:axId val="1122693680"/>
      </c:scatterChart>
      <c:valAx>
        <c:axId val="1122690800"/>
        <c:scaling>
          <c:orientation val="minMax"/>
          <c:max val="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693680"/>
        <c:crosses val="autoZero"/>
        <c:crossBetween val="midCat"/>
      </c:valAx>
      <c:valAx>
        <c:axId val="1122693680"/>
        <c:scaling>
          <c:orientation val="minMax"/>
          <c:max val="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690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Forgatás</a:t>
            </a:r>
            <a:r>
              <a:rPr lang="hu-HU" baseline="0"/>
              <a:t> O körül</a:t>
            </a:r>
            <a:endParaRPr lang="hu-H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eredeti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'Lineáris transzformációk'!$C$58:$G$58</c:f>
              <c:numCache>
                <c:formatCode>General</c:formatCode>
                <c:ptCount val="5"/>
                <c:pt idx="0">
                  <c:v>6</c:v>
                </c:pt>
                <c:pt idx="1">
                  <c:v>8</c:v>
                </c:pt>
                <c:pt idx="2">
                  <c:v>3</c:v>
                </c:pt>
                <c:pt idx="3">
                  <c:v>2</c:v>
                </c:pt>
                <c:pt idx="4">
                  <c:v>6</c:v>
                </c:pt>
              </c:numCache>
            </c:numRef>
          </c:xVal>
          <c:yVal>
            <c:numRef>
              <c:f>'Lineáris transzformációk'!$C$59:$G$59</c:f>
              <c:numCache>
                <c:formatCode>General</c:formatCode>
                <c:ptCount val="5"/>
                <c:pt idx="0">
                  <c:v>2</c:v>
                </c:pt>
                <c:pt idx="1">
                  <c:v>4</c:v>
                </c:pt>
                <c:pt idx="2">
                  <c:v>10</c:v>
                </c:pt>
                <c:pt idx="3">
                  <c:v>8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5E-4B86-B22D-B73BE86C26A5}"/>
            </c:ext>
          </c:extLst>
        </c:ser>
        <c:ser>
          <c:idx val="1"/>
          <c:order val="1"/>
          <c:tx>
            <c:v>forgatott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'Lineáris transzformációk'!$C$66:$G$66</c:f>
              <c:numCache>
                <c:formatCode>General</c:formatCode>
                <c:ptCount val="5"/>
                <c:pt idx="0">
                  <c:v>-3.3106914393407898</c:v>
                </c:pt>
                <c:pt idx="1">
                  <c:v>-3.5572051062056671</c:v>
                </c:pt>
                <c:pt idx="2">
                  <c:v>4.1297427675084588</c:v>
                </c:pt>
                <c:pt idx="3">
                  <c:v>3.6102119912543582</c:v>
                </c:pt>
                <c:pt idx="4">
                  <c:v>-3.3106914393407898</c:v>
                </c:pt>
              </c:numCache>
            </c:numRef>
          </c:xVal>
          <c:yVal>
            <c:numRef>
              <c:f>'Lineáris transzformációk'!$C$67:$G$67</c:f>
              <c:numCache>
                <c:formatCode>General</c:formatCode>
                <c:ptCount val="5"/>
                <c:pt idx="0">
                  <c:v>-5.3888145443571913</c:v>
                </c:pt>
                <c:pt idx="1">
                  <c:v>-8.2064786499682256</c:v>
                </c:pt>
                <c:pt idx="2">
                  <c:v>-9.5888072602493981</c:v>
                </c:pt>
                <c:pt idx="3">
                  <c:v>-7.4139307643249026</c:v>
                </c:pt>
                <c:pt idx="4">
                  <c:v>-5.3888145443571913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5E-4B86-B22D-B73BE86C2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5701519"/>
        <c:axId val="1315702479"/>
      </c:scatterChart>
      <c:valAx>
        <c:axId val="1315701519"/>
        <c:scaling>
          <c:orientation val="minMax"/>
          <c:max val="12"/>
          <c:min val="-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702479"/>
        <c:crosses val="autoZero"/>
        <c:crossBetween val="midCat"/>
      </c:valAx>
      <c:valAx>
        <c:axId val="1315702479"/>
        <c:scaling>
          <c:orientation val="minMax"/>
          <c:max val="15"/>
          <c:min val="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701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Reklám és Eladás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48284120734908137"/>
                  <c:y val="-0.1809722222222222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'Lineáris regresszió'!$C$5:$C$24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'Lineáris regresszió'!$D$5:$D$24</c:f>
              <c:numCache>
                <c:formatCode>General</c:formatCode>
                <c:ptCount val="20"/>
                <c:pt idx="0">
                  <c:v>4.0999999999999996</c:v>
                </c:pt>
                <c:pt idx="1">
                  <c:v>5.8</c:v>
                </c:pt>
                <c:pt idx="2">
                  <c:v>7.6</c:v>
                </c:pt>
                <c:pt idx="3">
                  <c:v>10.199999999999999</c:v>
                </c:pt>
                <c:pt idx="4">
                  <c:v>12</c:v>
                </c:pt>
                <c:pt idx="5">
                  <c:v>12.9</c:v>
                </c:pt>
                <c:pt idx="6">
                  <c:v>14.8</c:v>
                </c:pt>
                <c:pt idx="7">
                  <c:v>17</c:v>
                </c:pt>
                <c:pt idx="8">
                  <c:v>18.5</c:v>
                </c:pt>
                <c:pt idx="9">
                  <c:v>20.100000000000001</c:v>
                </c:pt>
                <c:pt idx="10">
                  <c:v>22.4</c:v>
                </c:pt>
                <c:pt idx="11">
                  <c:v>24.3</c:v>
                </c:pt>
                <c:pt idx="12">
                  <c:v>26</c:v>
                </c:pt>
                <c:pt idx="13">
                  <c:v>28.7</c:v>
                </c:pt>
                <c:pt idx="14">
                  <c:v>30.2</c:v>
                </c:pt>
                <c:pt idx="15">
                  <c:v>32.1</c:v>
                </c:pt>
                <c:pt idx="16">
                  <c:v>34.4</c:v>
                </c:pt>
                <c:pt idx="17">
                  <c:v>36.5</c:v>
                </c:pt>
                <c:pt idx="18">
                  <c:v>38.299999999999997</c:v>
                </c:pt>
                <c:pt idx="19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88-46AB-AE5A-A4DF85569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3802864"/>
        <c:axId val="1573817264"/>
      </c:scatterChart>
      <c:valAx>
        <c:axId val="1573802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Reklámpénz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817264"/>
        <c:crosses val="autoZero"/>
        <c:crossBetween val="midCat"/>
      </c:valAx>
      <c:valAx>
        <c:axId val="157381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Eladás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802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D$10" max="5" min="1" page="10" val="5"/>
</file>

<file path=xl/ctrlProps/ctrlProp2.xml><?xml version="1.0" encoding="utf-8"?>
<formControlPr xmlns="http://schemas.microsoft.com/office/spreadsheetml/2009/9/main" objectType="Spin" dx="26" fmlaLink="$E$43" max="5" page="10" val="4"/>
</file>

<file path=xl/ctrlProps/ctrlProp3.xml><?xml version="1.0" encoding="utf-8"?>
<formControlPr xmlns="http://schemas.microsoft.com/office/spreadsheetml/2009/9/main" objectType="Spin" dx="26" fmlaLink="$K$57" inc="10" max="360" page="10" val="220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17</xdr:row>
          <xdr:rowOff>53340</xdr:rowOff>
        </xdr:from>
        <xdr:to>
          <xdr:col>3</xdr:col>
          <xdr:colOff>160020</xdr:colOff>
          <xdr:row>20</xdr:row>
          <xdr:rowOff>152400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60960</xdr:colOff>
      <xdr:row>4</xdr:row>
      <xdr:rowOff>80010</xdr:rowOff>
    </xdr:from>
    <xdr:to>
      <xdr:col>14</xdr:col>
      <xdr:colOff>365760</xdr:colOff>
      <xdr:row>19</xdr:row>
      <xdr:rowOff>80010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15240</xdr:colOff>
      <xdr:row>20</xdr:row>
      <xdr:rowOff>125730</xdr:rowOff>
    </xdr:from>
    <xdr:to>
      <xdr:col>14</xdr:col>
      <xdr:colOff>320040</xdr:colOff>
      <xdr:row>35</xdr:row>
      <xdr:rowOff>125730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327660</xdr:colOff>
      <xdr:row>36</xdr:row>
      <xdr:rowOff>87630</xdr:rowOff>
    </xdr:from>
    <xdr:to>
      <xdr:col>15</xdr:col>
      <xdr:colOff>22860</xdr:colOff>
      <xdr:row>51</xdr:row>
      <xdr:rowOff>87630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701040</xdr:colOff>
          <xdr:row>50</xdr:row>
          <xdr:rowOff>22860</xdr:rowOff>
        </xdr:from>
        <xdr:to>
          <xdr:col>4</xdr:col>
          <xdr:colOff>91440</xdr:colOff>
          <xdr:row>53</xdr:row>
          <xdr:rowOff>121920</xdr:rowOff>
        </xdr:to>
        <xdr:sp macro="" textlink="">
          <xdr:nvSpPr>
            <xdr:cNvPr id="3075" name="Spinner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381000</xdr:colOff>
      <xdr:row>58</xdr:row>
      <xdr:rowOff>80010</xdr:rowOff>
    </xdr:from>
    <xdr:to>
      <xdr:col>15</xdr:col>
      <xdr:colOff>76200</xdr:colOff>
      <xdr:row>73</xdr:row>
      <xdr:rowOff>80010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70</xdr:row>
          <xdr:rowOff>175260</xdr:rowOff>
        </xdr:from>
        <xdr:to>
          <xdr:col>4</xdr:col>
          <xdr:colOff>0</xdr:colOff>
          <xdr:row>74</xdr:row>
          <xdr:rowOff>91440</xdr:rowOff>
        </xdr:to>
        <xdr:sp macro="" textlink="">
          <xdr:nvSpPr>
            <xdr:cNvPr id="3076" name="Spinner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3</xdr:row>
      <xdr:rowOff>99060</xdr:rowOff>
    </xdr:from>
    <xdr:ext cx="1943737" cy="2528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Szövegdoboz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1219200" y="647700"/>
              <a:ext cx="1943737" cy="2528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hu-HU" sz="1600" b="0" i="1">
                        <a:latin typeface="Cambria Math" panose="02040503050406030204" pitchFamily="18" charset="0"/>
                      </a:rPr>
                      <m:t>5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+5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−3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𝑧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+4=0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Szövegdoboz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1219200" y="647700"/>
              <a:ext cx="1943737" cy="2528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hu-HU" sz="1600" b="0" i="0">
                  <a:latin typeface="Cambria Math" panose="02040503050406030204" pitchFamily="18" charset="0"/>
                </a:rPr>
                <a:t>5𝑥+5𝑦−3𝑧+4=0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5</xdr:row>
      <xdr:rowOff>137160</xdr:rowOff>
    </xdr:from>
    <xdr:ext cx="1852558" cy="2528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Szövegdoboz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609600" y="1051560"/>
              <a:ext cx="1852558" cy="2528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hu-HU" sz="1600" b="0" i="1">
                        <a:latin typeface="Cambria Math" panose="02040503050406030204" pitchFamily="18" charset="0"/>
                      </a:rPr>
                      <m:t>5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+2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+8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𝑧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=−14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Szövegdoboz 2">
              <a:extLst>
                <a:ext uri="{FF2B5EF4-FFF2-40B4-BE49-F238E27FC236}">
                  <a16:creationId xmlns:a16="http://schemas.microsoft.com/office/drawing/2014/main" id="{8BA820CA-B7E2-41F2-BEEF-F48F20279CB6}"/>
                </a:ext>
              </a:extLst>
            </xdr:cNvPr>
            <xdr:cNvSpPr txBox="1"/>
          </xdr:nvSpPr>
          <xdr:spPr>
            <a:xfrm>
              <a:off x="609600" y="1051560"/>
              <a:ext cx="1852558" cy="2528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hu-HU" sz="1600" b="0" i="0">
                  <a:latin typeface="Cambria Math" panose="02040503050406030204" pitchFamily="18" charset="0"/>
                </a:rPr>
                <a:t>5𝑥+2𝑦+8𝑧=−14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</xdr:col>
      <xdr:colOff>601980</xdr:colOff>
      <xdr:row>7</xdr:row>
      <xdr:rowOff>106680</xdr:rowOff>
    </xdr:from>
    <xdr:ext cx="2232660" cy="2528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Szövegdoboz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601980" y="1021080"/>
              <a:ext cx="2232660" cy="2528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hu-HU" sz="1600" b="0" i="1">
                        <a:latin typeface="Cambria Math" panose="02040503050406030204" pitchFamily="18" charset="0"/>
                      </a:rPr>
                      <m:t>−6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 −3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−5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𝑧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−10=0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Szövegdoboz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601980" y="1021080"/>
              <a:ext cx="2232660" cy="2528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hu-HU" sz="1600" b="0" i="0">
                  <a:latin typeface="Cambria Math" panose="02040503050406030204" pitchFamily="18" charset="0"/>
                </a:rPr>
                <a:t>−6𝑥 −3𝑦−5𝑧−10=0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7</xdr:row>
      <xdr:rowOff>118110</xdr:rowOff>
    </xdr:from>
    <xdr:to>
      <xdr:col>15</xdr:col>
      <xdr:colOff>365760</xdr:colOff>
      <xdr:row>22</xdr:row>
      <xdr:rowOff>118110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175260</xdr:colOff>
          <xdr:row>1</xdr:row>
          <xdr:rowOff>68580</xdr:rowOff>
        </xdr:from>
        <xdr:to>
          <xdr:col>5</xdr:col>
          <xdr:colOff>190500</xdr:colOff>
          <xdr:row>4</xdr:row>
          <xdr:rowOff>53340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Bevétel kiszámolása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hyperlink" Target="https://www.tutorialspoint.com/vba/index.htm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51C84-EE55-4CE9-81EC-AD3EF2E79586}">
  <sheetPr codeName="Munka1"/>
  <dimension ref="A1:K68"/>
  <sheetViews>
    <sheetView workbookViewId="0">
      <selection activeCell="E21" sqref="E21"/>
    </sheetView>
  </sheetViews>
  <sheetFormatPr defaultRowHeight="14.4" x14ac:dyDescent="0.3"/>
  <cols>
    <col min="1" max="1" width="8.88671875" style="1"/>
    <col min="2" max="6" width="11.109375" style="1" customWidth="1"/>
    <col min="7" max="16384" width="8.88671875" style="1"/>
  </cols>
  <sheetData>
    <row r="1" spans="1:7" s="42" customFormat="1" x14ac:dyDescent="0.3">
      <c r="A1" s="42" t="s">
        <v>83</v>
      </c>
    </row>
    <row r="2" spans="1:7" s="42" customFormat="1" x14ac:dyDescent="0.3">
      <c r="A2" s="42" t="s">
        <v>84</v>
      </c>
    </row>
    <row r="3" spans="1:7" s="42" customFormat="1" x14ac:dyDescent="0.3"/>
    <row r="4" spans="1:7" x14ac:dyDescent="0.3">
      <c r="D4" s="15" t="s">
        <v>19</v>
      </c>
    </row>
    <row r="5" spans="1:7" x14ac:dyDescent="0.3">
      <c r="B5" s="18"/>
      <c r="C5" s="39" t="s">
        <v>12</v>
      </c>
      <c r="D5" s="39" t="s">
        <v>13</v>
      </c>
      <c r="E5" s="39" t="s">
        <v>14</v>
      </c>
      <c r="F5" s="39" t="s">
        <v>18</v>
      </c>
      <c r="G5" s="39" t="s">
        <v>12</v>
      </c>
    </row>
    <row r="6" spans="1:7" x14ac:dyDescent="0.3">
      <c r="B6" s="40" t="s">
        <v>15</v>
      </c>
      <c r="C6" s="18">
        <v>6</v>
      </c>
      <c r="D6" s="18">
        <v>3</v>
      </c>
      <c r="E6" s="18">
        <v>9</v>
      </c>
      <c r="F6" s="18">
        <v>8</v>
      </c>
      <c r="G6" s="18">
        <f>C6</f>
        <v>6</v>
      </c>
    </row>
    <row r="7" spans="1:7" x14ac:dyDescent="0.3">
      <c r="B7" s="40" t="s">
        <v>16</v>
      </c>
      <c r="C7" s="18">
        <v>2</v>
      </c>
      <c r="D7" s="18">
        <v>5</v>
      </c>
      <c r="E7" s="18">
        <v>6</v>
      </c>
      <c r="F7" s="18">
        <v>14</v>
      </c>
      <c r="G7" s="18">
        <f t="shared" ref="G7:G8" si="0">C7</f>
        <v>2</v>
      </c>
    </row>
    <row r="8" spans="1:7" x14ac:dyDescent="0.3">
      <c r="B8" s="40" t="s">
        <v>17</v>
      </c>
      <c r="C8" s="18">
        <v>1</v>
      </c>
      <c r="D8" s="18">
        <v>1</v>
      </c>
      <c r="E8" s="18">
        <v>1</v>
      </c>
      <c r="F8" s="18">
        <v>1</v>
      </c>
      <c r="G8" s="18">
        <f t="shared" si="0"/>
        <v>1</v>
      </c>
    </row>
    <row r="10" spans="1:7" x14ac:dyDescent="0.3">
      <c r="B10" s="15" t="s">
        <v>39</v>
      </c>
      <c r="C10" s="15" t="s">
        <v>22</v>
      </c>
      <c r="D10" s="15">
        <v>5</v>
      </c>
    </row>
    <row r="11" spans="1:7" x14ac:dyDescent="0.3">
      <c r="B11" s="10"/>
      <c r="C11" s="10"/>
      <c r="D11" s="10"/>
      <c r="E11" s="10"/>
      <c r="G11" s="10"/>
    </row>
    <row r="12" spans="1:7" x14ac:dyDescent="0.3">
      <c r="B12" s="2" t="s">
        <v>15</v>
      </c>
      <c r="C12" s="11" cm="1">
        <f t="array" ref="C12:G14">C6:G8*D10</f>
        <v>30</v>
      </c>
      <c r="D12" s="11">
        <v>15</v>
      </c>
      <c r="E12" s="11">
        <v>45</v>
      </c>
      <c r="F12" s="11">
        <v>40</v>
      </c>
      <c r="G12" s="12">
        <v>30</v>
      </c>
    </row>
    <row r="13" spans="1:7" x14ac:dyDescent="0.3">
      <c r="B13" s="13" t="s">
        <v>16</v>
      </c>
      <c r="C13" s="1">
        <v>10</v>
      </c>
      <c r="D13" s="1">
        <v>25</v>
      </c>
      <c r="E13" s="1">
        <v>30</v>
      </c>
      <c r="F13" s="1">
        <v>70</v>
      </c>
      <c r="G13" s="6">
        <v>10</v>
      </c>
    </row>
    <row r="14" spans="1:7" x14ac:dyDescent="0.3">
      <c r="B14" s="14" t="s">
        <v>17</v>
      </c>
      <c r="C14" s="8">
        <v>5</v>
      </c>
      <c r="D14" s="8">
        <v>5</v>
      </c>
      <c r="E14" s="8">
        <v>5</v>
      </c>
      <c r="F14" s="8">
        <v>5</v>
      </c>
      <c r="G14" s="9">
        <v>5</v>
      </c>
    </row>
    <row r="23" spans="2:6" x14ac:dyDescent="0.3">
      <c r="D23" s="15" t="s">
        <v>20</v>
      </c>
    </row>
    <row r="24" spans="2:6" x14ac:dyDescent="0.3">
      <c r="B24" s="2"/>
      <c r="C24" s="3" t="s">
        <v>12</v>
      </c>
      <c r="D24" s="3" t="s">
        <v>13</v>
      </c>
      <c r="E24" s="3" t="s">
        <v>14</v>
      </c>
      <c r="F24" s="4" t="s">
        <v>12</v>
      </c>
    </row>
    <row r="25" spans="2:6" x14ac:dyDescent="0.3">
      <c r="B25" s="5" t="s">
        <v>15</v>
      </c>
      <c r="C25" s="1">
        <v>3</v>
      </c>
      <c r="D25" s="1">
        <v>5</v>
      </c>
      <c r="E25" s="1">
        <v>7</v>
      </c>
      <c r="F25" s="6">
        <v>3</v>
      </c>
    </row>
    <row r="26" spans="2:6" x14ac:dyDescent="0.3">
      <c r="B26" s="5" t="s">
        <v>16</v>
      </c>
      <c r="C26" s="1">
        <v>5</v>
      </c>
      <c r="D26" s="1">
        <v>5</v>
      </c>
      <c r="E26" s="1">
        <v>2</v>
      </c>
      <c r="F26" s="6">
        <v>5</v>
      </c>
    </row>
    <row r="27" spans="2:6" x14ac:dyDescent="0.3">
      <c r="B27" s="7" t="s">
        <v>17</v>
      </c>
      <c r="C27" s="8">
        <v>1</v>
      </c>
      <c r="D27" s="8">
        <v>1</v>
      </c>
      <c r="E27" s="8">
        <v>1</v>
      </c>
      <c r="F27" s="9">
        <v>1</v>
      </c>
    </row>
    <row r="28" spans="2:6" x14ac:dyDescent="0.3">
      <c r="B28" s="15"/>
    </row>
    <row r="29" spans="2:6" x14ac:dyDescent="0.3">
      <c r="B29" s="1">
        <v>-1</v>
      </c>
      <c r="C29" s="1">
        <v>0</v>
      </c>
      <c r="D29" s="1">
        <v>0</v>
      </c>
    </row>
    <row r="30" spans="2:6" x14ac:dyDescent="0.3">
      <c r="B30" s="1">
        <v>0</v>
      </c>
      <c r="C30" s="1">
        <v>-1</v>
      </c>
      <c r="D30" s="1">
        <v>0</v>
      </c>
    </row>
    <row r="31" spans="2:6" x14ac:dyDescent="0.3">
      <c r="B31" s="1">
        <v>0</v>
      </c>
      <c r="C31" s="1">
        <v>0</v>
      </c>
      <c r="D31" s="1">
        <v>1</v>
      </c>
    </row>
    <row r="32" spans="2:6" x14ac:dyDescent="0.3">
      <c r="B32" s="10"/>
      <c r="C32" s="10"/>
      <c r="D32" s="10"/>
      <c r="E32" s="10"/>
      <c r="F32" s="10"/>
    </row>
    <row r="33" spans="2:7" x14ac:dyDescent="0.3">
      <c r="B33" s="2" t="s">
        <v>15</v>
      </c>
      <c r="C33" s="11" cm="1">
        <f t="array" ref="C33:F35">MMULT(B29:D31,C25:F27)</f>
        <v>-3</v>
      </c>
      <c r="D33" s="11">
        <v>-5</v>
      </c>
      <c r="E33" s="11">
        <v>-7</v>
      </c>
      <c r="F33" s="12">
        <v>-3</v>
      </c>
    </row>
    <row r="34" spans="2:7" x14ac:dyDescent="0.3">
      <c r="B34" s="13" t="s">
        <v>16</v>
      </c>
      <c r="C34" s="1">
        <v>-5</v>
      </c>
      <c r="D34" s="1">
        <v>-5</v>
      </c>
      <c r="E34" s="1">
        <v>-2</v>
      </c>
      <c r="F34" s="6">
        <v>-5</v>
      </c>
    </row>
    <row r="35" spans="2:7" x14ac:dyDescent="0.3">
      <c r="B35" s="14" t="s">
        <v>17</v>
      </c>
      <c r="C35" s="8">
        <v>1</v>
      </c>
      <c r="D35" s="8">
        <v>1</v>
      </c>
      <c r="E35" s="8">
        <v>1</v>
      </c>
      <c r="F35" s="9">
        <v>1</v>
      </c>
    </row>
    <row r="37" spans="2:7" x14ac:dyDescent="0.3">
      <c r="D37" s="15" t="s">
        <v>23</v>
      </c>
    </row>
    <row r="38" spans="2:7" x14ac:dyDescent="0.3">
      <c r="B38" s="2"/>
      <c r="C38" s="3" t="s">
        <v>12</v>
      </c>
      <c r="D38" s="3" t="s">
        <v>13</v>
      </c>
      <c r="E38" s="3" t="s">
        <v>14</v>
      </c>
      <c r="F38" s="4" t="s">
        <v>12</v>
      </c>
    </row>
    <row r="39" spans="2:7" x14ac:dyDescent="0.3">
      <c r="B39" s="5" t="s">
        <v>15</v>
      </c>
      <c r="C39" s="1">
        <v>5</v>
      </c>
      <c r="D39" s="1">
        <v>3</v>
      </c>
      <c r="E39" s="1">
        <v>4</v>
      </c>
      <c r="F39" s="6">
        <v>5</v>
      </c>
    </row>
    <row r="40" spans="2:7" x14ac:dyDescent="0.3">
      <c r="B40" s="5" t="s">
        <v>16</v>
      </c>
      <c r="C40" s="1">
        <v>2</v>
      </c>
      <c r="D40" s="1">
        <v>4</v>
      </c>
      <c r="E40" s="1">
        <v>6</v>
      </c>
      <c r="F40" s="6">
        <v>2</v>
      </c>
    </row>
    <row r="41" spans="2:7" x14ac:dyDescent="0.3">
      <c r="B41" s="7" t="s">
        <v>17</v>
      </c>
      <c r="C41" s="8">
        <v>1</v>
      </c>
      <c r="D41" s="8">
        <v>1</v>
      </c>
      <c r="E41" s="8">
        <v>1</v>
      </c>
      <c r="F41" s="9">
        <v>1</v>
      </c>
    </row>
    <row r="43" spans="2:7" x14ac:dyDescent="0.3">
      <c r="C43" s="1">
        <v>1</v>
      </c>
      <c r="D43" s="1">
        <v>0</v>
      </c>
      <c r="E43" s="15">
        <v>4</v>
      </c>
      <c r="F43" s="15" t="s">
        <v>22</v>
      </c>
      <c r="G43" s="15" t="s">
        <v>21</v>
      </c>
    </row>
    <row r="44" spans="2:7" x14ac:dyDescent="0.3">
      <c r="C44" s="1">
        <v>0</v>
      </c>
      <c r="D44" s="1">
        <v>1</v>
      </c>
      <c r="E44" s="1">
        <v>0</v>
      </c>
    </row>
    <row r="45" spans="2:7" x14ac:dyDescent="0.3">
      <c r="C45" s="1">
        <v>0</v>
      </c>
      <c r="D45" s="1">
        <v>0</v>
      </c>
      <c r="E45" s="1">
        <v>1</v>
      </c>
    </row>
    <row r="47" spans="2:7" x14ac:dyDescent="0.3">
      <c r="B47" s="16" t="s">
        <v>15</v>
      </c>
      <c r="C47" s="11" cm="1">
        <f t="array" ref="C47:F49">MMULT(C43:E45,C39:F41)</f>
        <v>9</v>
      </c>
      <c r="D47" s="11">
        <v>7</v>
      </c>
      <c r="E47" s="11">
        <v>8</v>
      </c>
      <c r="F47" s="12">
        <v>9</v>
      </c>
    </row>
    <row r="48" spans="2:7" x14ac:dyDescent="0.3">
      <c r="B48" s="5" t="s">
        <v>16</v>
      </c>
      <c r="C48" s="1">
        <v>2</v>
      </c>
      <c r="D48" s="1">
        <v>4</v>
      </c>
      <c r="E48" s="1">
        <v>6</v>
      </c>
      <c r="F48" s="6">
        <v>2</v>
      </c>
    </row>
    <row r="49" spans="2:11" x14ac:dyDescent="0.3">
      <c r="B49" s="7" t="s">
        <v>17</v>
      </c>
      <c r="C49" s="8">
        <v>1</v>
      </c>
      <c r="D49" s="8">
        <v>1</v>
      </c>
      <c r="E49" s="8">
        <v>1</v>
      </c>
      <c r="F49" s="9">
        <v>1</v>
      </c>
    </row>
    <row r="56" spans="2:11" x14ac:dyDescent="0.3">
      <c r="D56" s="15" t="s">
        <v>24</v>
      </c>
    </row>
    <row r="57" spans="2:11" x14ac:dyDescent="0.3">
      <c r="B57" s="2"/>
      <c r="C57" s="3" t="s">
        <v>12</v>
      </c>
      <c r="D57" s="3" t="s">
        <v>13</v>
      </c>
      <c r="E57" s="3" t="s">
        <v>14</v>
      </c>
      <c r="F57" s="3" t="s">
        <v>18</v>
      </c>
      <c r="G57" s="4" t="s">
        <v>12</v>
      </c>
      <c r="I57" s="1" t="s">
        <v>25</v>
      </c>
      <c r="J57" s="1" t="s">
        <v>22</v>
      </c>
      <c r="K57" s="1">
        <v>220</v>
      </c>
    </row>
    <row r="58" spans="2:11" x14ac:dyDescent="0.3">
      <c r="B58" s="5" t="s">
        <v>15</v>
      </c>
      <c r="C58" s="1">
        <v>6</v>
      </c>
      <c r="D58" s="1">
        <v>8</v>
      </c>
      <c r="E58" s="1">
        <v>3</v>
      </c>
      <c r="F58" s="1">
        <v>2</v>
      </c>
      <c r="G58" s="6">
        <v>6</v>
      </c>
      <c r="I58" s="1" t="s">
        <v>26</v>
      </c>
      <c r="J58" s="1" t="s">
        <v>22</v>
      </c>
      <c r="K58" s="1">
        <f>RADIANS(K57)</f>
        <v>3.839724354387525</v>
      </c>
    </row>
    <row r="59" spans="2:11" x14ac:dyDescent="0.3">
      <c r="B59" s="5" t="s">
        <v>16</v>
      </c>
      <c r="C59" s="1">
        <v>2</v>
      </c>
      <c r="D59" s="1">
        <v>4</v>
      </c>
      <c r="E59" s="1">
        <v>10</v>
      </c>
      <c r="F59" s="1">
        <v>8</v>
      </c>
      <c r="G59" s="6">
        <v>2</v>
      </c>
    </row>
    <row r="60" spans="2:11" x14ac:dyDescent="0.3">
      <c r="B60" s="7" t="s">
        <v>17</v>
      </c>
      <c r="C60" s="8">
        <v>1</v>
      </c>
      <c r="D60" s="8">
        <v>1</v>
      </c>
      <c r="E60" s="8">
        <v>1</v>
      </c>
      <c r="F60" s="8">
        <v>4</v>
      </c>
      <c r="G60" s="9">
        <v>1</v>
      </c>
    </row>
    <row r="62" spans="2:11" x14ac:dyDescent="0.3">
      <c r="C62" s="1">
        <f>COS(K58)</f>
        <v>-0.76604444311897801</v>
      </c>
      <c r="D62" s="1">
        <f>-SIN(K58)</f>
        <v>0.64278760968653925</v>
      </c>
      <c r="E62" s="1">
        <v>0</v>
      </c>
    </row>
    <row r="63" spans="2:11" x14ac:dyDescent="0.3">
      <c r="B63" s="10"/>
      <c r="C63" s="1">
        <f>SIN(K58)</f>
        <v>-0.64278760968653925</v>
      </c>
      <c r="D63" s="1">
        <f>COS(K58)</f>
        <v>-0.76604444311897801</v>
      </c>
      <c r="E63" s="1">
        <v>0</v>
      </c>
    </row>
    <row r="64" spans="2:11" x14ac:dyDescent="0.3">
      <c r="B64" s="10"/>
      <c r="C64" s="17">
        <v>0</v>
      </c>
      <c r="D64" s="17">
        <v>0</v>
      </c>
      <c r="E64" s="17">
        <v>1</v>
      </c>
      <c r="G64" s="10"/>
    </row>
    <row r="66" spans="2:7" x14ac:dyDescent="0.3">
      <c r="B66" s="2" t="s">
        <v>15</v>
      </c>
      <c r="C66" s="11" cm="1">
        <f t="array" ref="C66:G68">MMULT(C62:E64,C58:G60)</f>
        <v>-3.3106914393407898</v>
      </c>
      <c r="D66" s="11">
        <v>-3.5572051062056671</v>
      </c>
      <c r="E66" s="11">
        <v>4.1297427675084588</v>
      </c>
      <c r="F66" s="11">
        <v>3.6102119912543582</v>
      </c>
      <c r="G66" s="12">
        <v>-3.3106914393407898</v>
      </c>
    </row>
    <row r="67" spans="2:7" x14ac:dyDescent="0.3">
      <c r="B67" s="13" t="s">
        <v>16</v>
      </c>
      <c r="C67" s="1">
        <v>-5.3888145443571913</v>
      </c>
      <c r="D67" s="1">
        <v>-8.2064786499682256</v>
      </c>
      <c r="E67" s="1">
        <v>-9.5888072602493981</v>
      </c>
      <c r="F67" s="1">
        <v>-7.4139307643249026</v>
      </c>
      <c r="G67" s="6">
        <v>-5.3888145443571913</v>
      </c>
    </row>
    <row r="68" spans="2:7" x14ac:dyDescent="0.3">
      <c r="B68" s="14" t="s">
        <v>17</v>
      </c>
      <c r="C68" s="8">
        <v>1</v>
      </c>
      <c r="D68" s="8">
        <v>1</v>
      </c>
      <c r="E68" s="8">
        <v>1</v>
      </c>
      <c r="F68" s="8">
        <v>4</v>
      </c>
      <c r="G68" s="9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pinner 1">
              <controlPr defaultSize="0" autoPict="0">
                <anchor moveWithCells="1" sizeWithCells="1">
                  <from>
                    <xdr:col>2</xdr:col>
                    <xdr:colOff>7620</xdr:colOff>
                    <xdr:row>17</xdr:row>
                    <xdr:rowOff>53340</xdr:rowOff>
                  </from>
                  <to>
                    <xdr:col>3</xdr:col>
                    <xdr:colOff>160020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Spinner 3">
              <controlPr defaultSize="0" autoPict="0">
                <anchor moveWithCells="1" sizeWithCells="1">
                  <from>
                    <xdr:col>2</xdr:col>
                    <xdr:colOff>701040</xdr:colOff>
                    <xdr:row>50</xdr:row>
                    <xdr:rowOff>22860</xdr:rowOff>
                  </from>
                  <to>
                    <xdr:col>4</xdr:col>
                    <xdr:colOff>91440</xdr:colOff>
                    <xdr:row>53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Spinner 4">
              <controlPr defaultSize="0" autoPict="0">
                <anchor moveWithCells="1" sizeWithCells="1">
                  <from>
                    <xdr:col>2</xdr:col>
                    <xdr:colOff>609600</xdr:colOff>
                    <xdr:row>70</xdr:row>
                    <xdr:rowOff>175260</xdr:rowOff>
                  </from>
                  <to>
                    <xdr:col>4</xdr:col>
                    <xdr:colOff>0</xdr:colOff>
                    <xdr:row>74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B51C0-0897-4A9A-9283-B37BABF70D36}">
  <sheetPr codeName="Munka2"/>
  <dimension ref="A1:J24"/>
  <sheetViews>
    <sheetView workbookViewId="0">
      <selection activeCell="J23" sqref="J23"/>
    </sheetView>
  </sheetViews>
  <sheetFormatPr defaultRowHeight="14.4" x14ac:dyDescent="0.3"/>
  <cols>
    <col min="1" max="16384" width="8.88671875" style="1"/>
  </cols>
  <sheetData>
    <row r="1" spans="1:10" s="42" customFormat="1" x14ac:dyDescent="0.3">
      <c r="A1" s="42" t="s">
        <v>77</v>
      </c>
    </row>
    <row r="2" spans="1:10" s="42" customFormat="1" x14ac:dyDescent="0.3">
      <c r="A2" s="42" t="s">
        <v>78</v>
      </c>
    </row>
    <row r="10" spans="1:10" ht="15" thickBot="1" x14ac:dyDescent="0.35"/>
    <row r="11" spans="1:10" ht="15" thickBot="1" x14ac:dyDescent="0.35">
      <c r="C11" s="19" t="s">
        <v>15</v>
      </c>
      <c r="D11" s="20" t="s">
        <v>16</v>
      </c>
      <c r="E11" s="21" t="s">
        <v>17</v>
      </c>
    </row>
    <row r="12" spans="1:10" x14ac:dyDescent="0.3">
      <c r="C12" s="22">
        <v>5</v>
      </c>
      <c r="D12" s="18">
        <v>5</v>
      </c>
      <c r="E12" s="18">
        <v>-3</v>
      </c>
      <c r="F12" s="20" t="s">
        <v>22</v>
      </c>
      <c r="G12" s="21">
        <v>-4</v>
      </c>
      <c r="J12" s="1" t="s">
        <v>79</v>
      </c>
    </row>
    <row r="13" spans="1:10" x14ac:dyDescent="0.3">
      <c r="C13" s="22">
        <v>5</v>
      </c>
      <c r="D13" s="18">
        <v>2</v>
      </c>
      <c r="E13" s="18">
        <v>8</v>
      </c>
      <c r="F13" s="18" t="s">
        <v>22</v>
      </c>
      <c r="G13" s="23">
        <v>-14</v>
      </c>
    </row>
    <row r="14" spans="1:10" ht="15" thickBot="1" x14ac:dyDescent="0.35">
      <c r="C14" s="24">
        <v>-6</v>
      </c>
      <c r="D14" s="25">
        <v>-3</v>
      </c>
      <c r="E14" s="25">
        <v>-5</v>
      </c>
      <c r="F14" s="25" t="s">
        <v>22</v>
      </c>
      <c r="G14" s="26">
        <v>10</v>
      </c>
    </row>
    <row r="16" spans="1:10" x14ac:dyDescent="0.3">
      <c r="B16" s="1" t="s">
        <v>27</v>
      </c>
      <c r="C16" s="1">
        <f>MDETERM(C12:E14)</f>
        <v>-35.999999999999993</v>
      </c>
      <c r="D16" s="41" t="s">
        <v>61</v>
      </c>
      <c r="J16" s="1" t="s">
        <v>80</v>
      </c>
    </row>
    <row r="18" spans="2:10" x14ac:dyDescent="0.3">
      <c r="B18" s="1" t="s">
        <v>28</v>
      </c>
      <c r="C18" s="18" cm="1">
        <f t="array" ref="C18:E20">MINVERSE(C12:E14)</f>
        <v>-0.38888888888888901</v>
      </c>
      <c r="D18" s="18">
        <v>-0.94444444444444464</v>
      </c>
      <c r="E18" s="18">
        <v>-1.2777777777777779</v>
      </c>
      <c r="G18" s="1" t="s">
        <v>62</v>
      </c>
      <c r="J18" s="1" t="s">
        <v>81</v>
      </c>
    </row>
    <row r="19" spans="2:10" x14ac:dyDescent="0.3">
      <c r="C19" s="18">
        <v>0.63888888888888895</v>
      </c>
      <c r="D19" s="18">
        <v>1.1944444444444446</v>
      </c>
      <c r="E19" s="18">
        <v>1.5277777777777781</v>
      </c>
    </row>
    <row r="20" spans="2:10" x14ac:dyDescent="0.3">
      <c r="C20" s="18">
        <v>8.3333333333333356E-2</v>
      </c>
      <c r="D20" s="18">
        <v>0.41666666666666674</v>
      </c>
      <c r="E20" s="18">
        <v>0.41666666666666674</v>
      </c>
    </row>
    <row r="22" spans="2:10" x14ac:dyDescent="0.3">
      <c r="B22" s="1" t="s">
        <v>29</v>
      </c>
      <c r="C22" s="18" t="s">
        <v>15</v>
      </c>
      <c r="D22" s="18" t="s">
        <v>22</v>
      </c>
      <c r="E22" s="27" cm="1">
        <f t="array" ref="E22:E24">MMULT(_xlfn.ANCHORARRAY(C18),G12:G14)</f>
        <v>2.0000000000000018</v>
      </c>
      <c r="G22" s="1" t="s">
        <v>63</v>
      </c>
      <c r="J22" s="1" t="s">
        <v>82</v>
      </c>
    </row>
    <row r="23" spans="2:10" x14ac:dyDescent="0.3">
      <c r="C23" s="18" t="s">
        <v>16</v>
      </c>
      <c r="D23" s="18" t="s">
        <v>22</v>
      </c>
      <c r="E23" s="27">
        <v>-4</v>
      </c>
    </row>
    <row r="24" spans="2:10" x14ac:dyDescent="0.3">
      <c r="C24" s="18" t="s">
        <v>17</v>
      </c>
      <c r="D24" s="18" t="s">
        <v>22</v>
      </c>
      <c r="E24" s="27">
        <v>-1.9999999999999991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FCF5A-BC2D-4A9A-ADC2-1202B9506C8D}">
  <sheetPr codeName="Munka4"/>
  <dimension ref="B1:K19"/>
  <sheetViews>
    <sheetView workbookViewId="0">
      <selection activeCell="I6" sqref="I6"/>
    </sheetView>
  </sheetViews>
  <sheetFormatPr defaultRowHeight="14.4" x14ac:dyDescent="0.3"/>
  <cols>
    <col min="2" max="9" width="13.33203125" customWidth="1"/>
  </cols>
  <sheetData>
    <row r="1" spans="2:11" s="43" customFormat="1" x14ac:dyDescent="0.3">
      <c r="B1" s="43" t="s">
        <v>66</v>
      </c>
    </row>
    <row r="2" spans="2:11" s="43" customFormat="1" x14ac:dyDescent="0.3">
      <c r="B2" s="43" t="s">
        <v>65</v>
      </c>
    </row>
    <row r="3" spans="2:11" x14ac:dyDescent="0.3">
      <c r="B3" t="s">
        <v>64</v>
      </c>
    </row>
    <row r="5" spans="2:11" x14ac:dyDescent="0.3">
      <c r="H5" s="1" t="s">
        <v>34</v>
      </c>
      <c r="I5" s="33">
        <f>SUMPRODUCT(C9:E9,C12:E12)</f>
        <v>15199.999999999996</v>
      </c>
      <c r="K5" t="s">
        <v>86</v>
      </c>
    </row>
    <row r="6" spans="2:11" x14ac:dyDescent="0.3">
      <c r="B6" s="1"/>
      <c r="C6" s="1" t="s">
        <v>30</v>
      </c>
      <c r="D6" s="1" t="s">
        <v>31</v>
      </c>
      <c r="E6" s="1" t="s">
        <v>32</v>
      </c>
      <c r="F6" s="1" t="s">
        <v>7</v>
      </c>
    </row>
    <row r="7" spans="2:11" x14ac:dyDescent="0.3">
      <c r="B7" s="1" t="s">
        <v>35</v>
      </c>
      <c r="C7" s="28">
        <v>2</v>
      </c>
      <c r="D7" s="28">
        <v>1</v>
      </c>
      <c r="E7" s="28">
        <v>3</v>
      </c>
      <c r="F7" s="1">
        <v>800</v>
      </c>
      <c r="H7" t="s">
        <v>37</v>
      </c>
      <c r="I7" s="34">
        <f>SUMPRODUCT(C7:E7,C9:E9)</f>
        <v>799.99999999999977</v>
      </c>
      <c r="K7" t="s">
        <v>87</v>
      </c>
    </row>
    <row r="8" spans="2:11" x14ac:dyDescent="0.3">
      <c r="B8" s="1" t="s">
        <v>36</v>
      </c>
      <c r="C8" s="28">
        <v>3</v>
      </c>
      <c r="D8" s="28">
        <v>2</v>
      </c>
      <c r="E8" s="28">
        <v>1</v>
      </c>
      <c r="F8" s="1">
        <v>500</v>
      </c>
      <c r="H8" t="s">
        <v>38</v>
      </c>
      <c r="I8" s="35">
        <f>SUMPRODUCT(C8:E8,C9:E9)</f>
        <v>500</v>
      </c>
      <c r="K8" t="s">
        <v>88</v>
      </c>
    </row>
    <row r="9" spans="2:11" x14ac:dyDescent="0.3">
      <c r="B9" s="1" t="s">
        <v>33</v>
      </c>
      <c r="C9" s="44">
        <v>0</v>
      </c>
      <c r="D9" s="44">
        <v>140.00000000000003</v>
      </c>
      <c r="E9" s="44">
        <v>219.99999999999994</v>
      </c>
      <c r="F9" s="1"/>
    </row>
    <row r="10" spans="2:11" x14ac:dyDescent="0.3">
      <c r="B10" s="1"/>
      <c r="C10" s="1"/>
      <c r="D10" s="1"/>
      <c r="E10" s="1"/>
      <c r="F10" s="1"/>
    </row>
    <row r="11" spans="2:11" x14ac:dyDescent="0.3">
      <c r="B11" s="1"/>
      <c r="C11" s="1" t="s">
        <v>30</v>
      </c>
      <c r="D11" s="1" t="s">
        <v>31</v>
      </c>
      <c r="E11" s="1" t="s">
        <v>32</v>
      </c>
      <c r="F11" s="1"/>
      <c r="H11" s="1"/>
    </row>
    <row r="12" spans="2:11" x14ac:dyDescent="0.3">
      <c r="B12" s="1" t="s">
        <v>67</v>
      </c>
      <c r="C12" s="32">
        <v>40</v>
      </c>
      <c r="D12" s="32">
        <v>30</v>
      </c>
      <c r="E12" s="32">
        <v>50</v>
      </c>
      <c r="F12" s="1"/>
    </row>
    <row r="15" spans="2:11" x14ac:dyDescent="0.3">
      <c r="B15" t="s">
        <v>68</v>
      </c>
    </row>
    <row r="16" spans="2:11" x14ac:dyDescent="0.3">
      <c r="B16" t="s">
        <v>72</v>
      </c>
    </row>
    <row r="17" spans="2:2" x14ac:dyDescent="0.3">
      <c r="B17" t="s">
        <v>85</v>
      </c>
    </row>
    <row r="19" spans="2:2" x14ac:dyDescent="0.3">
      <c r="B19" s="42" t="s">
        <v>75</v>
      </c>
    </row>
  </sheetData>
  <pageMargins left="0.7" right="0.7" top="0.75" bottom="0.75" header="0.3" footer="0.3"/>
  <ignoredErrors>
    <ignoredError sqref="I7:I8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4167A-EC61-4268-A7B5-81633D772EA7}">
  <sheetPr codeName="Munka3"/>
  <dimension ref="B1:I20"/>
  <sheetViews>
    <sheetView workbookViewId="0">
      <selection activeCell="B2" sqref="B2"/>
    </sheetView>
  </sheetViews>
  <sheetFormatPr defaultRowHeight="14.4" x14ac:dyDescent="0.3"/>
  <cols>
    <col min="1" max="8" width="8.88671875" style="1"/>
    <col min="9" max="9" width="9.21875" style="1" bestFit="1" customWidth="1"/>
    <col min="10" max="16384" width="8.88671875" style="1"/>
  </cols>
  <sheetData>
    <row r="1" spans="2:9" s="42" customFormat="1" x14ac:dyDescent="0.3">
      <c r="B1" s="42" t="s">
        <v>76</v>
      </c>
    </row>
    <row r="2" spans="2:9" s="42" customFormat="1" x14ac:dyDescent="0.3">
      <c r="B2" s="42" t="s">
        <v>69</v>
      </c>
    </row>
    <row r="3" spans="2:9" s="42" customFormat="1" x14ac:dyDescent="0.3">
      <c r="B3" s="42" t="s">
        <v>70</v>
      </c>
    </row>
    <row r="4" spans="2:9" s="42" customFormat="1" x14ac:dyDescent="0.3">
      <c r="B4" s="42" t="s">
        <v>71</v>
      </c>
    </row>
    <row r="5" spans="2:9" x14ac:dyDescent="0.3">
      <c r="H5" s="1" t="s">
        <v>11</v>
      </c>
      <c r="I5" s="29">
        <f>SUMPRODUCT(C7:E8,C12:E13)</f>
        <v>920</v>
      </c>
    </row>
    <row r="6" spans="2:9" x14ac:dyDescent="0.3">
      <c r="B6" s="1" t="s">
        <v>9</v>
      </c>
      <c r="C6" s="1" t="s">
        <v>4</v>
      </c>
      <c r="D6" s="1" t="s">
        <v>5</v>
      </c>
      <c r="E6" s="1" t="s">
        <v>6</v>
      </c>
      <c r="F6" s="1" t="s">
        <v>7</v>
      </c>
    </row>
    <row r="7" spans="2:9" x14ac:dyDescent="0.3">
      <c r="B7" s="1" t="s">
        <v>0</v>
      </c>
      <c r="C7" s="44">
        <v>50</v>
      </c>
      <c r="D7" s="44">
        <v>0</v>
      </c>
      <c r="E7" s="44">
        <v>50</v>
      </c>
      <c r="F7" s="1" t="s">
        <v>2</v>
      </c>
      <c r="H7" s="1" t="s">
        <v>0</v>
      </c>
      <c r="I7" s="30">
        <f>SUM(C7:E7)</f>
        <v>100</v>
      </c>
    </row>
    <row r="8" spans="2:9" x14ac:dyDescent="0.3">
      <c r="B8" s="1" t="s">
        <v>1</v>
      </c>
      <c r="C8" s="44">
        <v>0</v>
      </c>
      <c r="D8" s="44">
        <v>60</v>
      </c>
      <c r="E8" s="44">
        <v>20</v>
      </c>
      <c r="F8" s="1" t="s">
        <v>3</v>
      </c>
      <c r="H8" s="1" t="s">
        <v>1</v>
      </c>
      <c r="I8" s="30">
        <f>SUM(C8:E8)</f>
        <v>80</v>
      </c>
    </row>
    <row r="9" spans="2:9" x14ac:dyDescent="0.3">
      <c r="B9" s="1" t="s">
        <v>8</v>
      </c>
      <c r="C9" s="28">
        <v>50</v>
      </c>
      <c r="D9" s="28">
        <v>60</v>
      </c>
      <c r="E9" s="28">
        <v>70</v>
      </c>
    </row>
    <row r="10" spans="2:9" x14ac:dyDescent="0.3">
      <c r="H10" s="1" t="s">
        <v>4</v>
      </c>
      <c r="I10" s="31">
        <f>SUM(C7:C8)</f>
        <v>50</v>
      </c>
    </row>
    <row r="11" spans="2:9" x14ac:dyDescent="0.3">
      <c r="B11" s="1" t="s">
        <v>10</v>
      </c>
      <c r="C11" s="1" t="s">
        <v>4</v>
      </c>
      <c r="D11" s="1" t="s">
        <v>5</v>
      </c>
      <c r="E11" s="1" t="s">
        <v>6</v>
      </c>
      <c r="H11" s="1" t="s">
        <v>5</v>
      </c>
      <c r="I11" s="31">
        <f>SUM(D7:D8)</f>
        <v>60</v>
      </c>
    </row>
    <row r="12" spans="2:9" x14ac:dyDescent="0.3">
      <c r="B12" s="1" t="s">
        <v>0</v>
      </c>
      <c r="C12" s="32">
        <v>4</v>
      </c>
      <c r="D12" s="32">
        <v>6</v>
      </c>
      <c r="E12" s="32">
        <v>8</v>
      </c>
      <c r="H12" s="1" t="s">
        <v>6</v>
      </c>
      <c r="I12" s="31">
        <f>SUM(E7:E8)</f>
        <v>70</v>
      </c>
    </row>
    <row r="13" spans="2:9" x14ac:dyDescent="0.3">
      <c r="B13" s="1" t="s">
        <v>1</v>
      </c>
      <c r="C13" s="32">
        <v>5</v>
      </c>
      <c r="D13" s="32">
        <v>3</v>
      </c>
      <c r="E13" s="32">
        <v>7</v>
      </c>
    </row>
    <row r="15" spans="2:9" x14ac:dyDescent="0.3">
      <c r="B15" t="s">
        <v>68</v>
      </c>
    </row>
    <row r="16" spans="2:9" x14ac:dyDescent="0.3">
      <c r="B16" t="s">
        <v>72</v>
      </c>
    </row>
    <row r="17" spans="2:2" x14ac:dyDescent="0.3">
      <c r="B17" t="s">
        <v>73</v>
      </c>
    </row>
    <row r="18" spans="2:2" x14ac:dyDescent="0.3">
      <c r="B18" s="42" t="s">
        <v>74</v>
      </c>
    </row>
    <row r="20" spans="2:2" x14ac:dyDescent="0.3">
      <c r="B20" s="42" t="s">
        <v>75</v>
      </c>
    </row>
  </sheetData>
  <phoneticPr fontId="2" type="noConversion"/>
  <pageMargins left="0.7" right="0.7" top="0.75" bottom="0.75" header="0.3" footer="0.3"/>
  <ignoredErrors>
    <ignoredError sqref="I10:I12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E7A30-3D37-456D-8E83-E0B9FA4DF0D1}">
  <sheetPr codeName="Munka5"/>
  <dimension ref="B1:J33"/>
  <sheetViews>
    <sheetView topLeftCell="A3" workbookViewId="0">
      <selection activeCell="G7" sqref="G7"/>
    </sheetView>
  </sheetViews>
  <sheetFormatPr defaultRowHeight="14.4" x14ac:dyDescent="0.3"/>
  <cols>
    <col min="2" max="5" width="15.5546875" customWidth="1"/>
    <col min="6" max="6" width="10.88671875" bestFit="1" customWidth="1"/>
  </cols>
  <sheetData>
    <row r="1" spans="2:10" ht="15" customHeight="1" x14ac:dyDescent="0.35">
      <c r="B1" s="47" t="s">
        <v>93</v>
      </c>
    </row>
    <row r="2" spans="2:10" x14ac:dyDescent="0.3">
      <c r="I2" s="51" t="s">
        <v>94</v>
      </c>
      <c r="J2" s="52"/>
    </row>
    <row r="3" spans="2:10" x14ac:dyDescent="0.3">
      <c r="C3" s="18" t="s">
        <v>91</v>
      </c>
      <c r="D3" s="18" t="s">
        <v>92</v>
      </c>
      <c r="E3" s="49" t="s">
        <v>95</v>
      </c>
      <c r="I3" s="48" cm="1">
        <f t="array" ref="I3:J7">LINEST(D5:D24,C5:C24,TRUE,TRUE)</f>
        <v>1.895864661654135</v>
      </c>
      <c r="J3" s="48">
        <v>1.8884210526315819</v>
      </c>
    </row>
    <row r="4" spans="2:10" x14ac:dyDescent="0.3">
      <c r="B4" s="45" t="s">
        <v>40</v>
      </c>
      <c r="C4" s="18" t="s">
        <v>89</v>
      </c>
      <c r="D4" s="18" t="s">
        <v>90</v>
      </c>
      <c r="E4" s="50"/>
      <c r="I4" s="45">
        <v>1.634559873863246E-2</v>
      </c>
      <c r="J4" s="45">
        <v>0.1958063554403916</v>
      </c>
    </row>
    <row r="5" spans="2:10" x14ac:dyDescent="0.3">
      <c r="B5" s="45" t="s">
        <v>42</v>
      </c>
      <c r="C5" s="45">
        <v>1</v>
      </c>
      <c r="D5" s="45">
        <v>4.0999999999999996</v>
      </c>
      <c r="E5" s="45">
        <f>$I$3*C5+$J$3</f>
        <v>3.7842857142857169</v>
      </c>
      <c r="I5" s="48">
        <v>0.99866377741897117</v>
      </c>
      <c r="J5" s="45">
        <v>0.42151366259317713</v>
      </c>
    </row>
    <row r="6" spans="2:10" x14ac:dyDescent="0.3">
      <c r="B6" s="45" t="s">
        <v>43</v>
      </c>
      <c r="C6" s="45">
        <v>2</v>
      </c>
      <c r="D6" s="45">
        <v>5.8</v>
      </c>
      <c r="E6" s="45">
        <f t="shared" ref="E6:E31" si="0">$I$3*C6+$J$3</f>
        <v>5.6801503759398519</v>
      </c>
      <c r="I6" s="45">
        <v>13452.80962076029</v>
      </c>
      <c r="J6" s="45">
        <v>18</v>
      </c>
    </row>
    <row r="7" spans="2:10" x14ac:dyDescent="0.3">
      <c r="B7" s="45" t="s">
        <v>44</v>
      </c>
      <c r="C7" s="45">
        <v>3</v>
      </c>
      <c r="D7" s="45">
        <v>7.6</v>
      </c>
      <c r="E7" s="45">
        <f t="shared" si="0"/>
        <v>7.5760150375939865</v>
      </c>
      <c r="I7" s="45">
        <v>2390.2113721804508</v>
      </c>
      <c r="J7" s="45">
        <v>3.198127819548866</v>
      </c>
    </row>
    <row r="8" spans="2:10" x14ac:dyDescent="0.3">
      <c r="B8" s="45" t="s">
        <v>45</v>
      </c>
      <c r="C8" s="45">
        <v>4</v>
      </c>
      <c r="D8" s="45">
        <v>10.199999999999999</v>
      </c>
      <c r="E8" s="45">
        <f t="shared" si="0"/>
        <v>9.471879699248122</v>
      </c>
    </row>
    <row r="9" spans="2:10" x14ac:dyDescent="0.3">
      <c r="B9" s="45" t="s">
        <v>46</v>
      </c>
      <c r="C9" s="45">
        <v>5</v>
      </c>
      <c r="D9" s="45">
        <v>12</v>
      </c>
      <c r="E9" s="45">
        <f t="shared" si="0"/>
        <v>11.367744360902257</v>
      </c>
    </row>
    <row r="10" spans="2:10" x14ac:dyDescent="0.3">
      <c r="B10" s="45" t="s">
        <v>47</v>
      </c>
      <c r="C10" s="45">
        <v>6</v>
      </c>
      <c r="D10" s="45">
        <v>12.9</v>
      </c>
      <c r="E10" s="45">
        <f t="shared" si="0"/>
        <v>13.263609022556391</v>
      </c>
    </row>
    <row r="11" spans="2:10" x14ac:dyDescent="0.3">
      <c r="B11" s="45" t="s">
        <v>48</v>
      </c>
      <c r="C11" s="45">
        <v>7</v>
      </c>
      <c r="D11" s="45">
        <v>14.8</v>
      </c>
      <c r="E11" s="45">
        <f t="shared" si="0"/>
        <v>15.159473684210527</v>
      </c>
    </row>
    <row r="12" spans="2:10" x14ac:dyDescent="0.3">
      <c r="B12" s="45" t="s">
        <v>49</v>
      </c>
      <c r="C12" s="45">
        <v>8</v>
      </c>
      <c r="D12" s="45">
        <v>17</v>
      </c>
      <c r="E12" s="45">
        <f t="shared" si="0"/>
        <v>17.055338345864662</v>
      </c>
    </row>
    <row r="13" spans="2:10" x14ac:dyDescent="0.3">
      <c r="B13" s="45" t="s">
        <v>50</v>
      </c>
      <c r="C13" s="45">
        <v>9</v>
      </c>
      <c r="D13" s="45">
        <v>18.5</v>
      </c>
      <c r="E13" s="45">
        <f t="shared" si="0"/>
        <v>18.951203007518796</v>
      </c>
    </row>
    <row r="14" spans="2:10" x14ac:dyDescent="0.3">
      <c r="B14" s="45" t="s">
        <v>51</v>
      </c>
      <c r="C14" s="45">
        <v>10</v>
      </c>
      <c r="D14" s="45">
        <v>20.100000000000001</v>
      </c>
      <c r="E14" s="45">
        <f t="shared" si="0"/>
        <v>20.847067669172933</v>
      </c>
    </row>
    <row r="15" spans="2:10" x14ac:dyDescent="0.3">
      <c r="B15" s="45" t="s">
        <v>52</v>
      </c>
      <c r="C15" s="45">
        <v>11</v>
      </c>
      <c r="D15" s="45">
        <v>22.4</v>
      </c>
      <c r="E15" s="45">
        <f t="shared" si="0"/>
        <v>22.742932330827067</v>
      </c>
    </row>
    <row r="16" spans="2:10" x14ac:dyDescent="0.3">
      <c r="B16" s="45" t="s">
        <v>53</v>
      </c>
      <c r="C16" s="45">
        <v>12</v>
      </c>
      <c r="D16" s="45">
        <v>24.3</v>
      </c>
      <c r="E16" s="45">
        <f t="shared" si="0"/>
        <v>24.6387969924812</v>
      </c>
    </row>
    <row r="17" spans="2:9" x14ac:dyDescent="0.3">
      <c r="B17" s="45" t="s">
        <v>42</v>
      </c>
      <c r="C17" s="45">
        <v>13</v>
      </c>
      <c r="D17" s="45">
        <v>26</v>
      </c>
      <c r="E17" s="45">
        <f t="shared" si="0"/>
        <v>26.534661654135338</v>
      </c>
    </row>
    <row r="18" spans="2:9" x14ac:dyDescent="0.3">
      <c r="B18" s="45" t="s">
        <v>43</v>
      </c>
      <c r="C18" s="45">
        <v>14</v>
      </c>
      <c r="D18" s="45">
        <v>28.7</v>
      </c>
      <c r="E18" s="45">
        <f t="shared" si="0"/>
        <v>28.430526315789471</v>
      </c>
    </row>
    <row r="19" spans="2:9" x14ac:dyDescent="0.3">
      <c r="B19" s="45" t="s">
        <v>44</v>
      </c>
      <c r="C19" s="45">
        <v>15</v>
      </c>
      <c r="D19" s="45">
        <v>30.2</v>
      </c>
      <c r="E19" s="45">
        <f t="shared" si="0"/>
        <v>30.326390977443609</v>
      </c>
    </row>
    <row r="20" spans="2:9" x14ac:dyDescent="0.3">
      <c r="B20" s="45" t="s">
        <v>45</v>
      </c>
      <c r="C20" s="45">
        <v>16</v>
      </c>
      <c r="D20" s="45">
        <v>32.1</v>
      </c>
      <c r="E20" s="45">
        <f t="shared" si="0"/>
        <v>32.222255639097739</v>
      </c>
    </row>
    <row r="21" spans="2:9" x14ac:dyDescent="0.3">
      <c r="B21" s="45" t="s">
        <v>46</v>
      </c>
      <c r="C21" s="45">
        <v>17</v>
      </c>
      <c r="D21" s="45">
        <v>34.4</v>
      </c>
      <c r="E21" s="45">
        <f t="shared" si="0"/>
        <v>34.118120300751883</v>
      </c>
    </row>
    <row r="22" spans="2:9" x14ac:dyDescent="0.3">
      <c r="B22" s="45" t="s">
        <v>47</v>
      </c>
      <c r="C22" s="45">
        <v>18</v>
      </c>
      <c r="D22" s="45">
        <v>36.5</v>
      </c>
      <c r="E22" s="45">
        <f t="shared" si="0"/>
        <v>36.013984962406013</v>
      </c>
    </row>
    <row r="23" spans="2:9" x14ac:dyDescent="0.3">
      <c r="B23" s="45" t="s">
        <v>48</v>
      </c>
      <c r="C23" s="45">
        <v>19</v>
      </c>
      <c r="D23" s="45">
        <v>38.299999999999997</v>
      </c>
      <c r="E23" s="45">
        <f t="shared" si="0"/>
        <v>37.909849624060143</v>
      </c>
    </row>
    <row r="24" spans="2:9" x14ac:dyDescent="0.3">
      <c r="B24" s="45" t="s">
        <v>49</v>
      </c>
      <c r="C24" s="45">
        <v>20</v>
      </c>
      <c r="D24" s="45">
        <v>40</v>
      </c>
      <c r="E24" s="45">
        <f t="shared" si="0"/>
        <v>39.805714285714288</v>
      </c>
    </row>
    <row r="25" spans="2:9" ht="16.2" x14ac:dyDescent="0.3">
      <c r="I25" t="s">
        <v>97</v>
      </c>
    </row>
    <row r="26" spans="2:9" x14ac:dyDescent="0.3">
      <c r="B26" s="51" t="s">
        <v>96</v>
      </c>
      <c r="C26" s="53"/>
      <c r="D26" s="53"/>
      <c r="E26" s="52"/>
      <c r="I26" t="s">
        <v>98</v>
      </c>
    </row>
    <row r="27" spans="2:9" x14ac:dyDescent="0.3">
      <c r="B27" s="46" t="s">
        <v>50</v>
      </c>
      <c r="C27" s="46">
        <v>21</v>
      </c>
      <c r="D27" s="54"/>
      <c r="E27" s="46">
        <f t="shared" si="0"/>
        <v>41.701578947368418</v>
      </c>
    </row>
    <row r="28" spans="2:9" x14ac:dyDescent="0.3">
      <c r="B28" s="45" t="s">
        <v>51</v>
      </c>
      <c r="C28" s="45">
        <v>22</v>
      </c>
      <c r="D28" s="55"/>
      <c r="E28" s="45">
        <f t="shared" si="0"/>
        <v>43.597443609022548</v>
      </c>
    </row>
    <row r="29" spans="2:9" x14ac:dyDescent="0.3">
      <c r="B29" s="45" t="s">
        <v>52</v>
      </c>
      <c r="C29" s="45">
        <v>23</v>
      </c>
      <c r="D29" s="55"/>
      <c r="E29" s="45">
        <f t="shared" si="0"/>
        <v>45.493308270676692</v>
      </c>
    </row>
    <row r="30" spans="2:9" x14ac:dyDescent="0.3">
      <c r="B30" s="45" t="s">
        <v>53</v>
      </c>
      <c r="C30" s="45">
        <v>24</v>
      </c>
      <c r="D30" s="55"/>
      <c r="E30" s="45">
        <f t="shared" si="0"/>
        <v>47.389172932330823</v>
      </c>
    </row>
    <row r="31" spans="2:9" x14ac:dyDescent="0.3">
      <c r="B31" s="45" t="s">
        <v>42</v>
      </c>
      <c r="C31" s="45">
        <v>25</v>
      </c>
      <c r="D31" s="56"/>
      <c r="E31" s="45">
        <f t="shared" si="0"/>
        <v>49.285037593984953</v>
      </c>
    </row>
    <row r="33" spans="2:2" x14ac:dyDescent="0.3">
      <c r="B33" t="s">
        <v>99</v>
      </c>
    </row>
  </sheetData>
  <mergeCells count="4">
    <mergeCell ref="E3:E4"/>
    <mergeCell ref="I2:J2"/>
    <mergeCell ref="B26:E26"/>
    <mergeCell ref="D27:D31"/>
  </mergeCells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5D07-4EBB-4C33-B561-041978DC2FF1}">
  <sheetPr codeName="Munka6"/>
  <dimension ref="A1:H21"/>
  <sheetViews>
    <sheetView tabSelected="1" topLeftCell="A3" workbookViewId="0">
      <selection activeCell="H20" sqref="H20"/>
    </sheetView>
  </sheetViews>
  <sheetFormatPr defaultRowHeight="14.4" x14ac:dyDescent="0.3"/>
  <cols>
    <col min="1" max="2" width="11.109375" customWidth="1"/>
  </cols>
  <sheetData>
    <row r="1" spans="1:2" x14ac:dyDescent="0.3">
      <c r="A1" t="s">
        <v>40</v>
      </c>
      <c r="B1" t="s">
        <v>41</v>
      </c>
    </row>
    <row r="2" spans="1:2" x14ac:dyDescent="0.3">
      <c r="A2" t="s">
        <v>42</v>
      </c>
      <c r="B2" s="37">
        <v>750</v>
      </c>
    </row>
    <row r="3" spans="1:2" x14ac:dyDescent="0.3">
      <c r="A3" t="s">
        <v>43</v>
      </c>
      <c r="B3" s="37">
        <v>466</v>
      </c>
    </row>
    <row r="4" spans="1:2" x14ac:dyDescent="0.3">
      <c r="A4" t="s">
        <v>44</v>
      </c>
      <c r="B4" s="37">
        <v>964</v>
      </c>
    </row>
    <row r="5" spans="1:2" x14ac:dyDescent="0.3">
      <c r="A5" t="s">
        <v>45</v>
      </c>
      <c r="B5" s="37">
        <v>493</v>
      </c>
    </row>
    <row r="6" spans="1:2" x14ac:dyDescent="0.3">
      <c r="A6" t="s">
        <v>46</v>
      </c>
      <c r="B6" s="37">
        <v>834</v>
      </c>
    </row>
    <row r="7" spans="1:2" x14ac:dyDescent="0.3">
      <c r="A7" t="s">
        <v>47</v>
      </c>
      <c r="B7" s="37">
        <v>769</v>
      </c>
    </row>
    <row r="8" spans="1:2" x14ac:dyDescent="0.3">
      <c r="A8" t="s">
        <v>48</v>
      </c>
      <c r="B8" s="37">
        <v>699</v>
      </c>
    </row>
    <row r="9" spans="1:2" x14ac:dyDescent="0.3">
      <c r="A9" t="s">
        <v>49</v>
      </c>
      <c r="B9" s="37">
        <v>333</v>
      </c>
    </row>
    <row r="10" spans="1:2" x14ac:dyDescent="0.3">
      <c r="A10" t="s">
        <v>50</v>
      </c>
      <c r="B10" s="37">
        <v>599</v>
      </c>
    </row>
    <row r="11" spans="1:2" x14ac:dyDescent="0.3">
      <c r="A11" t="s">
        <v>51</v>
      </c>
      <c r="B11" s="37">
        <v>433</v>
      </c>
    </row>
    <row r="12" spans="1:2" x14ac:dyDescent="0.3">
      <c r="A12" t="s">
        <v>52</v>
      </c>
      <c r="B12" s="37">
        <v>227</v>
      </c>
    </row>
    <row r="13" spans="1:2" x14ac:dyDescent="0.3">
      <c r="A13" t="s">
        <v>53</v>
      </c>
      <c r="B13" s="37">
        <v>125</v>
      </c>
    </row>
    <row r="15" spans="1:2" x14ac:dyDescent="0.3">
      <c r="A15" s="36" t="s">
        <v>54</v>
      </c>
      <c r="B15" s="37"/>
    </row>
    <row r="16" spans="1:2" x14ac:dyDescent="0.3">
      <c r="A16" s="36" t="s">
        <v>55</v>
      </c>
      <c r="B16" s="37"/>
    </row>
    <row r="17" spans="1:8" x14ac:dyDescent="0.3">
      <c r="A17" s="36" t="s">
        <v>56</v>
      </c>
      <c r="B17" s="37"/>
    </row>
    <row r="18" spans="1:8" x14ac:dyDescent="0.3">
      <c r="A18" s="36" t="s">
        <v>57</v>
      </c>
      <c r="B18" s="37"/>
    </row>
    <row r="19" spans="1:8" x14ac:dyDescent="0.3">
      <c r="A19" s="36" t="s">
        <v>58</v>
      </c>
      <c r="B19" s="37"/>
    </row>
    <row r="20" spans="1:8" x14ac:dyDescent="0.3">
      <c r="A20" s="36" t="s">
        <v>60</v>
      </c>
      <c r="B20" s="37"/>
      <c r="H20" s="38" t="s">
        <v>59</v>
      </c>
    </row>
    <row r="21" spans="1:8" x14ac:dyDescent="0.3">
      <c r="B21" s="37"/>
    </row>
  </sheetData>
  <hyperlinks>
    <hyperlink ref="H20" r:id="rId1" xr:uid="{0B6133A6-7718-4F08-B4BD-626E448085BB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datokSzum">
                <anchor moveWithCells="1" sizeWithCells="1">
                  <from>
                    <xdr:col>3</xdr:col>
                    <xdr:colOff>175260</xdr:colOff>
                    <xdr:row>1</xdr:row>
                    <xdr:rowOff>68580</xdr:rowOff>
                  </from>
                  <to>
                    <xdr:col>5</xdr:col>
                    <xdr:colOff>190500</xdr:colOff>
                    <xdr:row>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Lineáris transzformációk</vt:lpstr>
      <vt:lpstr>Lineáris egyenletrendszer</vt:lpstr>
      <vt:lpstr>Gyártás</vt:lpstr>
      <vt:lpstr>Szállítás</vt:lpstr>
      <vt:lpstr>Lineáris regresszió</vt:lpstr>
      <vt:lpstr>Makró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Dorina</dc:creator>
  <cp:lastModifiedBy>Bence Botló</cp:lastModifiedBy>
  <dcterms:created xsi:type="dcterms:W3CDTF">2024-05-24T10:13:09Z</dcterms:created>
  <dcterms:modified xsi:type="dcterms:W3CDTF">2026-02-13T15:52:26Z</dcterms:modified>
</cp:coreProperties>
</file>